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osh\OneDrive\Documents\ExternalProject\repricer\public\"/>
    </mc:Choice>
  </mc:AlternateContent>
  <xr:revisionPtr revIDLastSave="0" documentId="13_ncr:1_{E4112997-0224-4D27-BD8C-7EC5F85300F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tem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K2" i="1" l="1"/>
  <c r="AH2" i="1"/>
  <c r="AG2" i="1"/>
  <c r="X2" i="1"/>
  <c r="U2" i="1"/>
  <c r="T2" i="1"/>
  <c r="Q2" i="1"/>
  <c r="B2" i="1"/>
</calcChain>
</file>

<file path=xl/sharedStrings.xml><?xml version="1.0" encoding="utf-8"?>
<sst xmlns="http://schemas.openxmlformats.org/spreadsheetml/2006/main" count="56" uniqueCount="55">
  <si>
    <t>Channel Name</t>
  </si>
  <si>
    <t>Active</t>
  </si>
  <si>
    <t>MPID</t>
  </si>
  <si>
    <t>Channel ID</t>
  </si>
  <si>
    <t>Last CRON run at</t>
  </si>
  <si>
    <t>Last run cron-type</t>
  </si>
  <si>
    <t>Last updated at</t>
  </si>
  <si>
    <t>Last updated cron-type</t>
  </si>
  <si>
    <t>Last Reprice Attempted</t>
  </si>
  <si>
    <t>Last Reprice Comment</t>
  </si>
  <si>
    <t>Lowest Vendor Name</t>
  </si>
  <si>
    <t>Lowest Vendor Price</t>
  </si>
  <si>
    <t>Last Existing Price</t>
  </si>
  <si>
    <t>Last Suggested Price</t>
  </si>
  <si>
    <t>Unit Price</t>
  </si>
  <si>
    <t>Floor Price</t>
  </si>
  <si>
    <t>NC</t>
  </si>
  <si>
    <t>Up/Down</t>
  </si>
  <si>
    <t>Suppress Price Break</t>
  </si>
  <si>
    <t>Suppress Price Break if Qty 1 not updated</t>
  </si>
  <si>
    <t>Compete On Price Breaks Only</t>
  </si>
  <si>
    <t>Reprise %</t>
  </si>
  <si>
    <t>Compare Q2 with Q1</t>
  </si>
  <si>
    <t>Compete With All Vendors</t>
  </si>
  <si>
    <t>Badge Indicator</t>
  </si>
  <si>
    <t>Badge Percentage (in %)</t>
  </si>
  <si>
    <t>Next Cron Time</t>
  </si>
  <si>
    <t>Product Name</t>
  </si>
  <si>
    <t>Cron Id</t>
  </si>
  <si>
    <t>Cron Name</t>
  </si>
  <si>
    <t>Request Interval</t>
  </si>
  <si>
    <t>Request Interval Unit</t>
  </si>
  <si>
    <t>Scrape (On/Off)</t>
  </si>
  <si>
    <t>Reprice (On/Off)</t>
  </si>
  <si>
    <t>Tags</t>
  </si>
  <si>
    <t>Priority</t>
  </si>
  <si>
    <t>Do not scrape within 422 duration</t>
  </si>
  <si>
    <t>Max Price</t>
  </si>
  <si>
    <t>Focus ID</t>
  </si>
  <si>
    <t>Net32 Url</t>
  </si>
  <si>
    <t>Do not Deactivate Q break when pricing down</t>
  </si>
  <si>
    <t>Frontier</t>
  </si>
  <si>
    <t>756-0734AA</t>
  </si>
  <si>
    <t>ALL</t>
  </si>
  <si>
    <t>Cron-1</t>
  </si>
  <si>
    <t>min</t>
  </si>
  <si>
    <t>test 1</t>
  </si>
  <si>
    <t>https://www.net32.com/ec/dci-replacement-lever-use-saliva-ejector-economy-d-91181</t>
  </si>
  <si>
    <t>Own Vendor Id</t>
  </si>
  <si>
    <t>Sister Vendor Id</t>
  </si>
  <si>
    <t>Include Inactive Vendors</t>
  </si>
  <si>
    <t>Inactive Vendor Id</t>
  </si>
  <si>
    <t>Override Bulk Update</t>
  </si>
  <si>
    <t>Override Bulk Update Up/Down</t>
  </si>
  <si>
    <t>Latest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</si>
</sst>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5B3D7"/>
        <bgColor rgb="FF9999FF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0" fontId="0" fillId="2" borderId="1" xfId="0" applyFill="1" applyBorder="1"/>
    <xf numFmtId="0" fontId="1" fillId="2" borderId="1" xfId="0" applyFont="1" applyFill="1" applyBorder="1"/>
    <xf numFmtId="0" fontId="0" fillId="2" borderId="2" xfId="0" applyFill="1" applyBorder="1"/>
    <xf numFmtId="1" fontId="0" fillId="2" borderId="1" xfId="0" applyNumberFormat="1" applyFill="1" applyBorder="1"/>
    <xf numFmtId="0" fontId="0" fillId="3" borderId="1" xfId="0" applyFill="1" applyBorder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"/>
  <sheetViews>
    <sheetView tabSelected="1" topLeftCell="AK1" zoomScaleNormal="100" workbookViewId="0">
      <selection activeCell="AV1" sqref="AV1:AV2"/>
    </sheetView>
  </sheetViews>
  <sheetFormatPr defaultColWidth="8.5703125" defaultRowHeight="15" x14ac:dyDescent="0.25"/>
  <cols>
    <col min="1" max="3" width="20" customWidth="1"/>
    <col min="4" max="4" width="27.42578125" customWidth="1"/>
    <col min="5" max="7" width="20" customWidth="1"/>
    <col min="8" max="8" width="22" customWidth="1"/>
    <col min="9" max="19" width="20" customWidth="1"/>
    <col min="20" max="20" width="36.42578125" customWidth="1"/>
    <col min="21" max="21" width="26.28515625" customWidth="1"/>
    <col min="22" max="23" width="19.5703125" customWidth="1"/>
    <col min="24" max="24" width="32.42578125" customWidth="1"/>
    <col min="25" max="25" width="26.140625" customWidth="1"/>
    <col min="26" max="26" width="21" customWidth="1"/>
    <col min="27" max="27" width="14.42578125" customWidth="1"/>
    <col min="28" max="28" width="19.42578125" customWidth="1"/>
    <col min="29" max="29" width="38.28515625" customWidth="1"/>
    <col min="30" max="30" width="26" customWidth="1"/>
    <col min="31" max="31" width="23.140625" customWidth="1"/>
    <col min="32" max="32" width="19.140625" customWidth="1"/>
    <col min="33" max="33" width="33.85546875" customWidth="1"/>
    <col min="34" max="34" width="19.42578125" customWidth="1"/>
    <col min="35" max="35" width="28.7109375" customWidth="1"/>
    <col min="36" max="36" width="17.28515625" customWidth="1"/>
    <col min="37" max="37" width="29.7109375" customWidth="1"/>
    <col min="38" max="38" width="12.85546875" customWidth="1"/>
    <col min="39" max="39" width="18.42578125" customWidth="1"/>
    <col min="40" max="40" width="27.85546875" style="1" customWidth="1"/>
    <col min="41" max="41" width="39.7109375" customWidth="1"/>
    <col min="42" max="42" width="14.42578125" bestFit="1" customWidth="1"/>
    <col min="43" max="43" width="15.28515625" bestFit="1" customWidth="1"/>
    <col min="44" max="44" width="23.28515625" bestFit="1" customWidth="1"/>
    <col min="45" max="45" width="17.42578125" bestFit="1" customWidth="1"/>
    <col min="46" max="46" width="24.28515625" bestFit="1" customWidth="1"/>
    <col min="47" max="47" width="29.42578125" bestFit="1" customWidth="1"/>
    <col min="48" max="48" width="11.140625" bestFit="1" customWidth="1"/>
    <col min="1024" max="1024" width="9.140625" customWidth="1"/>
  </cols>
  <sheetData>
    <row r="1" spans="1:48" ht="35.8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5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4" t="s">
        <v>35</v>
      </c>
      <c r="AK1" s="3" t="s">
        <v>36</v>
      </c>
      <c r="AL1" s="2" t="s">
        <v>37</v>
      </c>
      <c r="AM1" s="2" t="s">
        <v>38</v>
      </c>
      <c r="AN1" s="3" t="s">
        <v>39</v>
      </c>
      <c r="AO1" s="3" t="s">
        <v>40</v>
      </c>
      <c r="AP1" s="3" t="s">
        <v>48</v>
      </c>
      <c r="AQ1" s="3" t="s">
        <v>49</v>
      </c>
      <c r="AR1" s="3" t="s">
        <v>50</v>
      </c>
      <c r="AS1" s="3" t="s">
        <v>51</v>
      </c>
      <c r="AT1" s="3" t="s">
        <v>52</v>
      </c>
      <c r="AU1" s="3" t="s">
        <v>53</v>
      </c>
      <c r="AV1" s="3" t="s">
        <v>54</v>
      </c>
    </row>
    <row r="2" spans="1:48" ht="60" x14ac:dyDescent="0.25">
      <c r="A2" s="6" t="s">
        <v>41</v>
      </c>
      <c r="B2" s="6" t="b">
        <f>TRUE()</f>
        <v>1</v>
      </c>
      <c r="C2" s="6">
        <v>1122</v>
      </c>
      <c r="D2" s="6" t="s">
        <v>42</v>
      </c>
      <c r="E2" s="7"/>
      <c r="F2" s="7"/>
      <c r="G2" s="7"/>
      <c r="H2" s="7"/>
      <c r="I2" s="7"/>
      <c r="J2" s="7"/>
      <c r="K2" s="7"/>
      <c r="L2" s="7"/>
      <c r="M2" s="7"/>
      <c r="N2" s="7"/>
      <c r="O2" s="6">
        <v>3.36</v>
      </c>
      <c r="P2" s="7">
        <v>3.35</v>
      </c>
      <c r="Q2" s="6" t="b">
        <f>FALSE()</f>
        <v>0</v>
      </c>
      <c r="R2" s="6">
        <v>-1</v>
      </c>
      <c r="S2" s="7"/>
      <c r="T2" s="7" t="b">
        <f>FALSE()</f>
        <v>0</v>
      </c>
      <c r="U2" s="7" t="b">
        <f>FALSE()</f>
        <v>0</v>
      </c>
      <c r="V2" s="7"/>
      <c r="W2" s="7"/>
      <c r="X2" s="7" t="b">
        <f>FALSE()</f>
        <v>0</v>
      </c>
      <c r="Y2" s="7" t="s">
        <v>43</v>
      </c>
      <c r="Z2" s="8">
        <v>0</v>
      </c>
      <c r="AA2" s="7"/>
      <c r="AB2" s="7"/>
      <c r="AC2" s="7"/>
      <c r="AD2" s="6" t="s">
        <v>44</v>
      </c>
      <c r="AE2" s="6">
        <v>5</v>
      </c>
      <c r="AF2" s="6" t="s">
        <v>45</v>
      </c>
      <c r="AG2" s="6" t="b">
        <f>TRUE()</f>
        <v>1</v>
      </c>
      <c r="AH2" s="6" t="b">
        <f>TRUE()</f>
        <v>1</v>
      </c>
      <c r="AI2" s="7" t="s">
        <v>46</v>
      </c>
      <c r="AJ2" s="7">
        <v>5</v>
      </c>
      <c r="AK2" s="7" t="b">
        <f>FALSE()</f>
        <v>0</v>
      </c>
      <c r="AL2" s="7"/>
      <c r="AM2" s="6" t="s">
        <v>42</v>
      </c>
      <c r="AN2" s="9" t="s">
        <v>47</v>
      </c>
      <c r="AO2" s="8">
        <v>1</v>
      </c>
      <c r="AP2" s="7"/>
      <c r="AQ2" s="7"/>
      <c r="AR2" s="7"/>
      <c r="AS2" s="7"/>
      <c r="AT2" s="6" t="b">
        <v>1</v>
      </c>
      <c r="AU2" s="6">
        <v>2</v>
      </c>
      <c r="AV2" s="7"/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Pranoy Ghosh</cp:lastModifiedBy>
  <cp:revision>2</cp:revision>
  <dcterms:created xsi:type="dcterms:W3CDTF">2022-12-09T13:42:53Z</dcterms:created>
  <dcterms:modified xsi:type="dcterms:W3CDTF">2023-08-31T17:47:55Z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